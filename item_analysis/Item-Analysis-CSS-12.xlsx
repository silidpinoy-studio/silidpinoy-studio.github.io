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ECLASS\JHONAS FILES\"/>
    </mc:Choice>
  </mc:AlternateContent>
  <xr:revisionPtr revIDLastSave="0" documentId="13_ncr:1_{2F6843D8-E767-4688-8222-9B4C8D433C56}" xr6:coauthVersionLast="47" xr6:coauthVersionMax="47" xr10:uidLastSave="{00000000-0000-0000-0000-000000000000}"/>
  <bookViews>
    <workbookView xWindow="-110" yWindow="-110" windowWidth="19420" windowHeight="10420" activeTab="1" xr2:uid="{1CA0A12B-25FE-41F4-8DE6-56BE4C5B76F3}"/>
  </bookViews>
  <sheets>
    <sheet name="MIL" sheetId="27" r:id="rId1"/>
    <sheet name="CSS-2" sheetId="29" r:id="rId2"/>
  </sheets>
  <definedNames>
    <definedName name="_xlnm.Print_Area" localSheetId="1">'CSS-2'!$A$1:$AL$33</definedName>
    <definedName name="_xlnm.Print_Area" localSheetId="0">MIL!$A$1:$AL$33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6" i="29" l="1"/>
  <c r="AD26" i="29"/>
  <c r="V26" i="29"/>
  <c r="P26" i="29"/>
  <c r="O26" i="29"/>
  <c r="AI25" i="29"/>
  <c r="AI26" i="29" s="1"/>
  <c r="AH25" i="29"/>
  <c r="AH26" i="29" s="1"/>
  <c r="AG25" i="29"/>
  <c r="AG26" i="29" s="1"/>
  <c r="AF25" i="29"/>
  <c r="AF26" i="29" s="1"/>
  <c r="AE25" i="29"/>
  <c r="AD25" i="29"/>
  <c r="AC25" i="29"/>
  <c r="AC26" i="29" s="1"/>
  <c r="AB25" i="29"/>
  <c r="AB26" i="29" s="1"/>
  <c r="AA25" i="29"/>
  <c r="AA26" i="29" s="1"/>
  <c r="Z25" i="29"/>
  <c r="Z26" i="29" s="1"/>
  <c r="Y25" i="29"/>
  <c r="Y26" i="29" s="1"/>
  <c r="X25" i="29"/>
  <c r="X26" i="29" s="1"/>
  <c r="W25" i="29"/>
  <c r="W26" i="29" s="1"/>
  <c r="V25" i="29"/>
  <c r="U25" i="29"/>
  <c r="U26" i="29" s="1"/>
  <c r="T25" i="29"/>
  <c r="T26" i="29" s="1"/>
  <c r="S25" i="29"/>
  <c r="S26" i="29" s="1"/>
  <c r="R25" i="29"/>
  <c r="R26" i="29" s="1"/>
  <c r="Q25" i="29"/>
  <c r="Q26" i="29" s="1"/>
  <c r="P25" i="29"/>
  <c r="O25" i="29"/>
  <c r="N25" i="29"/>
  <c r="N26" i="29" s="1"/>
  <c r="M25" i="29"/>
  <c r="M26" i="29" s="1"/>
  <c r="L25" i="29"/>
  <c r="L26" i="29" s="1"/>
  <c r="K25" i="29"/>
  <c r="K26" i="29" s="1"/>
  <c r="J25" i="29"/>
  <c r="J26" i="29" s="1"/>
  <c r="I25" i="29"/>
  <c r="I26" i="29" s="1"/>
  <c r="H25" i="29"/>
  <c r="H26" i="29" s="1"/>
  <c r="G25" i="29"/>
  <c r="G26" i="29" s="1"/>
  <c r="F25" i="29"/>
  <c r="F26" i="29" s="1"/>
  <c r="D25" i="29"/>
  <c r="AJ24" i="29"/>
  <c r="AJ23" i="29"/>
  <c r="AJ22" i="29"/>
  <c r="AJ21" i="29"/>
  <c r="AJ20" i="29"/>
  <c r="AJ19" i="29"/>
  <c r="AJ18" i="29"/>
  <c r="AK18" i="29" s="1"/>
  <c r="AL18" i="29" s="1"/>
  <c r="AJ17" i="29"/>
  <c r="AK17" i="29" s="1"/>
  <c r="AL17" i="29" s="1"/>
  <c r="AJ16" i="29"/>
  <c r="AK16" i="29" s="1"/>
  <c r="AL16" i="29" s="1"/>
  <c r="AJ15" i="29"/>
  <c r="AK15" i="29" s="1"/>
  <c r="AL15" i="29" s="1"/>
  <c r="AJ14" i="29"/>
  <c r="AK14" i="29" s="1"/>
  <c r="AL14" i="29" s="1"/>
  <c r="AJ13" i="29"/>
  <c r="AK13" i="29" s="1"/>
  <c r="AL13" i="29" s="1"/>
  <c r="AJ12" i="29"/>
  <c r="AJ25" i="29" s="1"/>
  <c r="G11" i="29"/>
  <c r="H11" i="29" s="1"/>
  <c r="I11" i="29" s="1"/>
  <c r="J11" i="29" s="1"/>
  <c r="K11" i="29" s="1"/>
  <c r="L11" i="29" s="1"/>
  <c r="M11" i="29" s="1"/>
  <c r="N11" i="29" s="1"/>
  <c r="O11" i="29" s="1"/>
  <c r="P11" i="29" s="1"/>
  <c r="Q11" i="29" s="1"/>
  <c r="R11" i="29" s="1"/>
  <c r="S11" i="29" s="1"/>
  <c r="T11" i="29" s="1"/>
  <c r="U11" i="29" s="1"/>
  <c r="V11" i="29" s="1"/>
  <c r="W11" i="29" s="1"/>
  <c r="X11" i="29" s="1"/>
  <c r="Y11" i="29" s="1"/>
  <c r="Z11" i="29" s="1"/>
  <c r="AA11" i="29" s="1"/>
  <c r="AB11" i="29" s="1"/>
  <c r="AC11" i="29" s="1"/>
  <c r="AD11" i="29" s="1"/>
  <c r="AE11" i="29" s="1"/>
  <c r="AF11" i="29" s="1"/>
  <c r="AG11" i="29" s="1"/>
  <c r="AH11" i="29" s="1"/>
  <c r="AI11" i="29" s="1"/>
  <c r="AJ12" i="27"/>
  <c r="AK12" i="27" s="1"/>
  <c r="AL12" i="27" s="1"/>
  <c r="AJ13" i="27"/>
  <c r="AJ19" i="27"/>
  <c r="AK12" i="29" l="1"/>
  <c r="AL12" i="29" s="1"/>
  <c r="AI25" i="27"/>
  <c r="AI26" i="27" s="1"/>
  <c r="AH25" i="27"/>
  <c r="AH26" i="27" s="1"/>
  <c r="AG25" i="27"/>
  <c r="AG26" i="27" s="1"/>
  <c r="AF25" i="27"/>
  <c r="AF26" i="27" s="1"/>
  <c r="AE25" i="27"/>
  <c r="AE26" i="27" s="1"/>
  <c r="AD25" i="27"/>
  <c r="AD26" i="27" s="1"/>
  <c r="AC25" i="27"/>
  <c r="AC26" i="27" s="1"/>
  <c r="AB25" i="27"/>
  <c r="AB26" i="27" s="1"/>
  <c r="AA25" i="27"/>
  <c r="AA26" i="27" s="1"/>
  <c r="Z25" i="27"/>
  <c r="Z26" i="27" s="1"/>
  <c r="Y25" i="27"/>
  <c r="Y26" i="27" s="1"/>
  <c r="X25" i="27"/>
  <c r="X26" i="27" s="1"/>
  <c r="W25" i="27"/>
  <c r="W26" i="27" s="1"/>
  <c r="V25" i="27"/>
  <c r="V26" i="27" s="1"/>
  <c r="U25" i="27"/>
  <c r="U26" i="27" s="1"/>
  <c r="T25" i="27"/>
  <c r="T26" i="27" s="1"/>
  <c r="S25" i="27"/>
  <c r="S26" i="27" s="1"/>
  <c r="R25" i="27"/>
  <c r="R26" i="27" s="1"/>
  <c r="Q25" i="27"/>
  <c r="Q26" i="27" s="1"/>
  <c r="P25" i="27"/>
  <c r="P26" i="27" s="1"/>
  <c r="O25" i="27"/>
  <c r="O26" i="27" s="1"/>
  <c r="N25" i="27"/>
  <c r="N26" i="27" s="1"/>
  <c r="M25" i="27"/>
  <c r="M26" i="27" s="1"/>
  <c r="L25" i="27"/>
  <c r="L26" i="27" s="1"/>
  <c r="K25" i="27"/>
  <c r="K26" i="27" s="1"/>
  <c r="J25" i="27"/>
  <c r="J26" i="27" s="1"/>
  <c r="I25" i="27"/>
  <c r="I26" i="27" s="1"/>
  <c r="H25" i="27"/>
  <c r="H26" i="27" s="1"/>
  <c r="G25" i="27"/>
  <c r="G26" i="27" s="1"/>
  <c r="F25" i="27"/>
  <c r="F26" i="27" s="1"/>
  <c r="D25" i="27"/>
  <c r="AJ24" i="27"/>
  <c r="AJ23" i="27"/>
  <c r="AJ22" i="27"/>
  <c r="AJ21" i="27"/>
  <c r="AJ20" i="27"/>
  <c r="AJ18" i="27"/>
  <c r="AK18" i="27" s="1"/>
  <c r="AL18" i="27" s="1"/>
  <c r="AJ17" i="27"/>
  <c r="AK17" i="27" s="1"/>
  <c r="AL17" i="27" s="1"/>
  <c r="AJ16" i="27"/>
  <c r="AK16" i="27" s="1"/>
  <c r="AL16" i="27" s="1"/>
  <c r="AJ15" i="27"/>
  <c r="AK15" i="27" s="1"/>
  <c r="AL15" i="27" s="1"/>
  <c r="AJ14" i="27"/>
  <c r="AK14" i="27" s="1"/>
  <c r="AL14" i="27" s="1"/>
  <c r="AK13" i="27"/>
  <c r="AL13" i="27" s="1"/>
  <c r="G11" i="27"/>
  <c r="H11" i="27" s="1"/>
  <c r="I11" i="27" s="1"/>
  <c r="J11" i="27" s="1"/>
  <c r="K11" i="27" s="1"/>
  <c r="L11" i="27" s="1"/>
  <c r="M11" i="27" s="1"/>
  <c r="N11" i="27" s="1"/>
  <c r="O11" i="27" s="1"/>
  <c r="P11" i="27" s="1"/>
  <c r="Q11" i="27" s="1"/>
  <c r="R11" i="27" s="1"/>
  <c r="S11" i="27" s="1"/>
  <c r="T11" i="27" s="1"/>
  <c r="U11" i="27" s="1"/>
  <c r="V11" i="27" s="1"/>
  <c r="W11" i="27" s="1"/>
  <c r="X11" i="27" s="1"/>
  <c r="Y11" i="27" s="1"/>
  <c r="Z11" i="27" s="1"/>
  <c r="AA11" i="27" s="1"/>
  <c r="AB11" i="27" s="1"/>
  <c r="AC11" i="27" s="1"/>
  <c r="AD11" i="27" s="1"/>
  <c r="AE11" i="27" s="1"/>
  <c r="AF11" i="27" s="1"/>
  <c r="AG11" i="27" s="1"/>
  <c r="AH11" i="27" s="1"/>
  <c r="AI11" i="27" s="1"/>
  <c r="AJ25" i="27" l="1"/>
</calcChain>
</file>

<file path=xl/sharedStrings.xml><?xml version="1.0" encoding="utf-8"?>
<sst xmlns="http://schemas.openxmlformats.org/spreadsheetml/2006/main" count="66" uniqueCount="34">
  <si>
    <t>School:</t>
  </si>
  <si>
    <t>School Year:</t>
  </si>
  <si>
    <t>Subject</t>
  </si>
  <si>
    <t>Grading Period</t>
  </si>
  <si>
    <t>SIMPLIFIED ITEM ANALYSIS PER SUBJECT</t>
  </si>
  <si>
    <t>Grade Level</t>
  </si>
  <si>
    <t>Section</t>
  </si>
  <si>
    <t>Total No. of Takers</t>
  </si>
  <si>
    <t>Total No. of Items</t>
  </si>
  <si>
    <t>Total Raw Score</t>
  </si>
  <si>
    <t>MPS</t>
  </si>
  <si>
    <t>Mastery Level</t>
  </si>
  <si>
    <t>Total</t>
  </si>
  <si>
    <t>MPS per Item</t>
  </si>
  <si>
    <t>Submitted by:</t>
  </si>
  <si>
    <t>Submitted to:</t>
  </si>
  <si>
    <t>GUINTOLAN NATIONAL HIGH SCHOOL</t>
  </si>
  <si>
    <t>MEDIA INFORMATION LITERACY</t>
  </si>
  <si>
    <t>2025-2026</t>
  </si>
  <si>
    <t>MIL</t>
  </si>
  <si>
    <t>JHONAS M. OPADA</t>
  </si>
  <si>
    <t>Subject Teacher</t>
  </si>
  <si>
    <t>VON ANDREI B BASUG</t>
  </si>
  <si>
    <t>HEAD TEACHER I</t>
  </si>
  <si>
    <t>SECOND</t>
  </si>
  <si>
    <t>NEWHART</t>
  </si>
  <si>
    <t>SOCRATES</t>
  </si>
  <si>
    <t>SAVOR</t>
  </si>
  <si>
    <t>BABBAGE</t>
  </si>
  <si>
    <t>NIHONWELD</t>
  </si>
  <si>
    <t>OHMS</t>
  </si>
  <si>
    <t>VOLKS</t>
  </si>
  <si>
    <t>CSS</t>
  </si>
  <si>
    <t>COMPUTER SYSTEM SERVICING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</si>
</sst>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4"/>
      <color theme="1"/>
      <name val="Amasis MT Pro"/>
      <family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 Narrow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  <font>
      <b/>
      <sz val="8"/>
      <color theme="1"/>
      <name val="Arial"/>
      <family val="2"/>
    </font>
    <font>
      <sz val="11"/>
      <color theme="1"/>
      <name val="Arial Narrow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1" fillId="0" borderId="0" xfId="0" applyFont="1"/>
    <xf numFmtId="0" fontId="0" fillId="0" borderId="4" xfId="0" applyBorder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/>
    <xf numFmtId="0" fontId="0" fillId="0" borderId="1" xfId="0" applyBorder="1" applyAlignment="1">
      <alignment horizontal="center"/>
    </xf>
    <xf numFmtId="1" fontId="10" fillId="0" borderId="7" xfId="0" applyNumberFormat="1" applyFont="1" applyBorder="1" applyAlignment="1">
      <alignment horizontal="center" vertical="center"/>
    </xf>
    <xf numFmtId="2" fontId="10" fillId="0" borderId="7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 textRotation="90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209550</xdr:colOff>
      <xdr:row>0</xdr:row>
      <xdr:rowOff>0</xdr:rowOff>
    </xdr:from>
    <xdr:to>
      <xdr:col>27</xdr:col>
      <xdr:colOff>181464</xdr:colOff>
      <xdr:row>5</xdr:row>
      <xdr:rowOff>9524</xdr:rowOff>
    </xdr:to>
    <xdr:pic>
      <xdr:nvPicPr>
        <xdr:cNvPr id="2" name="Picture 1" descr="Screenshot_20190710_195215">
          <a:extLst>
            <a:ext uri="{FF2B5EF4-FFF2-40B4-BE49-F238E27FC236}">
              <a16:creationId xmlns:a16="http://schemas.microsoft.com/office/drawing/2014/main" id="{8FD8CD96-2821-40C4-AA7C-AA6BFEF9C726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6373"/>
        <a:stretch/>
      </xdr:blipFill>
      <xdr:spPr bwMode="auto">
        <a:xfrm>
          <a:off x="2520950" y="0"/>
          <a:ext cx="6766414" cy="93027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209550</xdr:colOff>
      <xdr:row>0</xdr:row>
      <xdr:rowOff>0</xdr:rowOff>
    </xdr:from>
    <xdr:to>
      <xdr:col>27</xdr:col>
      <xdr:colOff>181464</xdr:colOff>
      <xdr:row>5</xdr:row>
      <xdr:rowOff>9524</xdr:rowOff>
    </xdr:to>
    <xdr:pic>
      <xdr:nvPicPr>
        <xdr:cNvPr id="2" name="Picture 1" descr="Screenshot_20190710_195215">
          <a:extLst>
            <a:ext uri="{FF2B5EF4-FFF2-40B4-BE49-F238E27FC236}">
              <a16:creationId xmlns:a16="http://schemas.microsoft.com/office/drawing/2014/main" id="{CB46F458-C48E-4C2A-ACE7-1F33E17E550D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6373"/>
        <a:stretch/>
      </xdr:blipFill>
      <xdr:spPr bwMode="auto">
        <a:xfrm>
          <a:off x="2520950" y="0"/>
          <a:ext cx="6766414" cy="93027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B7B07-7859-4E02-9A3F-66882B54450F}">
  <dimension ref="A4:AM33"/>
  <sheetViews>
    <sheetView view="pageBreakPreview" topLeftCell="A12" zoomScale="75" zoomScaleNormal="59" zoomScalePageLayoutView="55" workbookViewId="0">
      <selection activeCell="V21" sqref="V21"/>
    </sheetView>
  </sheetViews>
  <sheetFormatPr defaultColWidth="9.1796875" defaultRowHeight="14.5" x14ac:dyDescent="0.35"/>
  <cols>
    <col min="1" max="1" width="13.6328125" customWidth="1"/>
    <col min="2" max="2" width="9.1796875" customWidth="1"/>
    <col min="3" max="3" width="10.26953125" customWidth="1"/>
    <col min="4" max="4" width="6.7265625" customWidth="1"/>
    <col min="5" max="5" width="10.54296875" customWidth="1"/>
    <col min="6" max="35" width="3.6328125" customWidth="1"/>
    <col min="36" max="36" width="6.7265625" customWidth="1"/>
    <col min="37" max="37" width="10.08984375" customWidth="1"/>
    <col min="38" max="38" width="10.6328125" customWidth="1"/>
    <col min="39" max="39" width="5.54296875" customWidth="1"/>
  </cols>
  <sheetData>
    <row r="4" spans="1:39" x14ac:dyDescent="0.35">
      <c r="AD4" s="3"/>
    </row>
    <row r="7" spans="1:39" x14ac:dyDescent="0.35">
      <c r="B7" s="2" t="s">
        <v>0</v>
      </c>
      <c r="C7" s="2"/>
      <c r="D7" s="29" t="s">
        <v>16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 t="s">
        <v>1</v>
      </c>
      <c r="AD7" s="2"/>
      <c r="AE7" s="2"/>
      <c r="AF7" s="2"/>
      <c r="AG7" s="2"/>
      <c r="AH7" s="29" t="s">
        <v>18</v>
      </c>
      <c r="AI7" s="29"/>
      <c r="AJ7" s="29"/>
      <c r="AK7" s="29"/>
      <c r="AL7" s="29"/>
    </row>
    <row r="8" spans="1:39" x14ac:dyDescent="0.35">
      <c r="B8" s="2" t="s">
        <v>2</v>
      </c>
      <c r="C8" s="2"/>
      <c r="D8" s="30" t="s">
        <v>17</v>
      </c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 t="s">
        <v>3</v>
      </c>
      <c r="AD8" s="2"/>
      <c r="AE8" s="2"/>
      <c r="AF8" s="2"/>
      <c r="AG8" s="2"/>
      <c r="AH8" s="30" t="s">
        <v>24</v>
      </c>
      <c r="AI8" s="30"/>
      <c r="AJ8" s="30"/>
      <c r="AK8" s="30"/>
      <c r="AL8" s="30"/>
    </row>
    <row r="10" spans="1:39" ht="18" x14ac:dyDescent="0.4">
      <c r="B10" s="31" t="s">
        <v>4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</row>
    <row r="11" spans="1:39" ht="46.5" x14ac:dyDescent="0.35">
      <c r="A11" s="8" t="s">
        <v>2</v>
      </c>
      <c r="B11" s="20" t="s">
        <v>5</v>
      </c>
      <c r="C11" s="20" t="s">
        <v>6</v>
      </c>
      <c r="D11" s="20" t="s">
        <v>7</v>
      </c>
      <c r="E11" s="20" t="s">
        <v>8</v>
      </c>
      <c r="F11" s="21">
        <v>1</v>
      </c>
      <c r="G11" s="21">
        <f>F11+1</f>
        <v>2</v>
      </c>
      <c r="H11" s="21">
        <f t="shared" ref="H11:AI11" si="0">G11+1</f>
        <v>3</v>
      </c>
      <c r="I11" s="21">
        <f t="shared" si="0"/>
        <v>4</v>
      </c>
      <c r="J11" s="21">
        <f t="shared" si="0"/>
        <v>5</v>
      </c>
      <c r="K11" s="21">
        <f t="shared" si="0"/>
        <v>6</v>
      </c>
      <c r="L11" s="21">
        <f t="shared" si="0"/>
        <v>7</v>
      </c>
      <c r="M11" s="21">
        <f t="shared" si="0"/>
        <v>8</v>
      </c>
      <c r="N11" s="21">
        <f t="shared" si="0"/>
        <v>9</v>
      </c>
      <c r="O11" s="21">
        <f t="shared" si="0"/>
        <v>10</v>
      </c>
      <c r="P11" s="21">
        <f t="shared" si="0"/>
        <v>11</v>
      </c>
      <c r="Q11" s="21">
        <f t="shared" si="0"/>
        <v>12</v>
      </c>
      <c r="R11" s="21">
        <f t="shared" si="0"/>
        <v>13</v>
      </c>
      <c r="S11" s="21">
        <f t="shared" si="0"/>
        <v>14</v>
      </c>
      <c r="T11" s="21">
        <f t="shared" si="0"/>
        <v>15</v>
      </c>
      <c r="U11" s="21">
        <f t="shared" si="0"/>
        <v>16</v>
      </c>
      <c r="V11" s="21">
        <f t="shared" si="0"/>
        <v>17</v>
      </c>
      <c r="W11" s="21">
        <f t="shared" si="0"/>
        <v>18</v>
      </c>
      <c r="X11" s="21">
        <f t="shared" si="0"/>
        <v>19</v>
      </c>
      <c r="Y11" s="21">
        <f t="shared" si="0"/>
        <v>20</v>
      </c>
      <c r="Z11" s="21">
        <f>Y11+1</f>
        <v>21</v>
      </c>
      <c r="AA11" s="21">
        <f t="shared" si="0"/>
        <v>22</v>
      </c>
      <c r="AB11" s="21">
        <f t="shared" si="0"/>
        <v>23</v>
      </c>
      <c r="AC11" s="21">
        <f t="shared" si="0"/>
        <v>24</v>
      </c>
      <c r="AD11" s="21">
        <f t="shared" si="0"/>
        <v>25</v>
      </c>
      <c r="AE11" s="21">
        <f t="shared" si="0"/>
        <v>26</v>
      </c>
      <c r="AF11" s="21">
        <f>AE11+1</f>
        <v>27</v>
      </c>
      <c r="AG11" s="21">
        <f t="shared" si="0"/>
        <v>28</v>
      </c>
      <c r="AH11" s="21">
        <f t="shared" si="0"/>
        <v>29</v>
      </c>
      <c r="AI11" s="21">
        <f t="shared" si="0"/>
        <v>30</v>
      </c>
      <c r="AJ11" s="22" t="s">
        <v>9</v>
      </c>
      <c r="AK11" s="23" t="s">
        <v>10</v>
      </c>
      <c r="AL11" s="23" t="s">
        <v>11</v>
      </c>
      <c r="AM11" s="1"/>
    </row>
    <row r="12" spans="1:39" ht="17.149999999999999" customHeight="1" x14ac:dyDescent="0.35">
      <c r="A12" s="16" t="s">
        <v>19</v>
      </c>
      <c r="B12" s="5">
        <v>12</v>
      </c>
      <c r="C12" s="5" t="s">
        <v>28</v>
      </c>
      <c r="D12" s="5">
        <v>25</v>
      </c>
      <c r="E12" s="5">
        <v>30</v>
      </c>
      <c r="F12" s="6">
        <v>21</v>
      </c>
      <c r="G12" s="6">
        <v>16</v>
      </c>
      <c r="H12" s="6">
        <v>18</v>
      </c>
      <c r="I12" s="6">
        <v>24</v>
      </c>
      <c r="J12" s="6">
        <v>21</v>
      </c>
      <c r="K12" s="6">
        <v>23</v>
      </c>
      <c r="L12" s="6">
        <v>18</v>
      </c>
      <c r="M12" s="6">
        <v>15</v>
      </c>
      <c r="N12" s="6">
        <v>18</v>
      </c>
      <c r="O12" s="6">
        <v>20</v>
      </c>
      <c r="P12" s="6">
        <v>20</v>
      </c>
      <c r="Q12" s="6">
        <v>16</v>
      </c>
      <c r="R12" s="6">
        <v>10</v>
      </c>
      <c r="S12" s="6">
        <v>14</v>
      </c>
      <c r="T12" s="6">
        <v>21</v>
      </c>
      <c r="U12" s="6">
        <v>22</v>
      </c>
      <c r="V12" s="6">
        <v>18</v>
      </c>
      <c r="W12" s="6">
        <v>21</v>
      </c>
      <c r="X12" s="6">
        <v>18</v>
      </c>
      <c r="Y12" s="6">
        <v>23</v>
      </c>
      <c r="Z12" s="6">
        <v>25</v>
      </c>
      <c r="AA12" s="6">
        <v>21</v>
      </c>
      <c r="AB12" s="6">
        <v>18</v>
      </c>
      <c r="AC12" s="6">
        <v>19</v>
      </c>
      <c r="AD12" s="6">
        <v>15</v>
      </c>
      <c r="AE12" s="6">
        <v>21</v>
      </c>
      <c r="AF12" s="6">
        <v>24</v>
      </c>
      <c r="AG12" s="6">
        <v>25</v>
      </c>
      <c r="AH12" s="6">
        <v>24</v>
      </c>
      <c r="AI12" s="6">
        <v>12</v>
      </c>
      <c r="AJ12" s="6">
        <f>SUM(F12:AI12)</f>
        <v>581</v>
      </c>
      <c r="AK12" s="18">
        <f t="shared" ref="AK12" si="1">(AJ12/D12)</f>
        <v>23.24</v>
      </c>
      <c r="AL12" s="19">
        <f t="shared" ref="AL12" si="2">(AK12/E12)*100</f>
        <v>77.466666666666669</v>
      </c>
      <c r="AM12" s="4"/>
    </row>
    <row r="13" spans="1:39" ht="17.149999999999999" customHeight="1" x14ac:dyDescent="0.35">
      <c r="A13" s="16" t="s">
        <v>19</v>
      </c>
      <c r="B13" s="5">
        <v>12</v>
      </c>
      <c r="C13" s="5" t="s">
        <v>27</v>
      </c>
      <c r="D13" s="5">
        <v>4</v>
      </c>
      <c r="E13" s="5">
        <v>30</v>
      </c>
      <c r="F13" s="6">
        <v>4</v>
      </c>
      <c r="G13" s="6">
        <v>3</v>
      </c>
      <c r="H13" s="6">
        <v>3</v>
      </c>
      <c r="I13" s="6">
        <v>3</v>
      </c>
      <c r="J13" s="6">
        <v>2</v>
      </c>
      <c r="K13" s="6">
        <v>2</v>
      </c>
      <c r="L13" s="6">
        <v>2</v>
      </c>
      <c r="M13" s="6">
        <v>3</v>
      </c>
      <c r="N13" s="6">
        <v>2</v>
      </c>
      <c r="O13" s="6">
        <v>3</v>
      </c>
      <c r="P13" s="6">
        <v>4</v>
      </c>
      <c r="Q13" s="6">
        <v>4</v>
      </c>
      <c r="R13" s="6">
        <v>4</v>
      </c>
      <c r="S13" s="6">
        <v>3</v>
      </c>
      <c r="T13" s="6">
        <v>3</v>
      </c>
      <c r="U13" s="6">
        <v>4</v>
      </c>
      <c r="V13" s="6">
        <v>2</v>
      </c>
      <c r="W13" s="6">
        <v>3</v>
      </c>
      <c r="X13" s="6">
        <v>4</v>
      </c>
      <c r="Y13" s="6">
        <v>4</v>
      </c>
      <c r="Z13" s="6">
        <v>3</v>
      </c>
      <c r="AA13" s="6">
        <v>4</v>
      </c>
      <c r="AB13" s="6">
        <v>4</v>
      </c>
      <c r="AC13" s="6">
        <v>2</v>
      </c>
      <c r="AD13" s="6">
        <v>4</v>
      </c>
      <c r="AE13" s="6">
        <v>3</v>
      </c>
      <c r="AF13" s="6">
        <v>3</v>
      </c>
      <c r="AG13" s="6">
        <v>3</v>
      </c>
      <c r="AH13" s="6">
        <v>4</v>
      </c>
      <c r="AI13" s="6">
        <v>3</v>
      </c>
      <c r="AJ13" s="6">
        <f>SUM(F13:AI13)</f>
        <v>95</v>
      </c>
      <c r="AK13" s="12">
        <f t="shared" ref="AK13:AK18" si="3">(AJ13/D13)</f>
        <v>23.75</v>
      </c>
      <c r="AL13" s="7">
        <f t="shared" ref="AL13:AL18" si="4">(AK13/E13)*100</f>
        <v>79.166666666666657</v>
      </c>
    </row>
    <row r="14" spans="1:39" ht="17.149999999999999" customHeight="1" x14ac:dyDescent="0.35">
      <c r="A14" s="15" t="s">
        <v>19</v>
      </c>
      <c r="B14" s="5">
        <v>12</v>
      </c>
      <c r="C14" s="5" t="s">
        <v>26</v>
      </c>
      <c r="D14" s="5">
        <v>23</v>
      </c>
      <c r="E14" s="5">
        <v>30</v>
      </c>
      <c r="F14" s="6">
        <v>23</v>
      </c>
      <c r="G14" s="6">
        <v>30</v>
      </c>
      <c r="H14" s="6">
        <v>20</v>
      </c>
      <c r="I14" s="6">
        <v>23</v>
      </c>
      <c r="J14" s="6">
        <v>17</v>
      </c>
      <c r="K14" s="6">
        <v>23</v>
      </c>
      <c r="L14" s="6">
        <v>22</v>
      </c>
      <c r="M14" s="6">
        <v>22</v>
      </c>
      <c r="N14" s="6">
        <v>23</v>
      </c>
      <c r="O14" s="6">
        <v>22</v>
      </c>
      <c r="P14" s="6">
        <v>23</v>
      </c>
      <c r="Q14" s="6">
        <v>22</v>
      </c>
      <c r="R14" s="6">
        <v>23</v>
      </c>
      <c r="S14" s="6">
        <v>14</v>
      </c>
      <c r="T14" s="6">
        <v>21</v>
      </c>
      <c r="U14" s="6">
        <v>21</v>
      </c>
      <c r="V14" s="6">
        <v>23</v>
      </c>
      <c r="W14" s="6">
        <v>20</v>
      </c>
      <c r="X14" s="6">
        <v>20</v>
      </c>
      <c r="Y14" s="6">
        <v>22</v>
      </c>
      <c r="Z14" s="6">
        <v>22</v>
      </c>
      <c r="AA14" s="6">
        <v>18</v>
      </c>
      <c r="AB14" s="6">
        <v>19</v>
      </c>
      <c r="AC14" s="6">
        <v>23</v>
      </c>
      <c r="AD14" s="6">
        <v>22</v>
      </c>
      <c r="AE14" s="6">
        <v>23</v>
      </c>
      <c r="AF14" s="6">
        <v>18</v>
      </c>
      <c r="AG14" s="6">
        <v>22</v>
      </c>
      <c r="AH14" s="6">
        <v>19</v>
      </c>
      <c r="AI14" s="6">
        <v>23</v>
      </c>
      <c r="AJ14" s="6">
        <f t="shared" ref="AJ14:AJ24" si="5">SUM(F14:AI14)</f>
        <v>643</v>
      </c>
      <c r="AK14" s="12">
        <f t="shared" si="3"/>
        <v>27.956521739130434</v>
      </c>
      <c r="AL14" s="7">
        <f t="shared" si="4"/>
        <v>93.188405797101453</v>
      </c>
    </row>
    <row r="15" spans="1:39" ht="17.149999999999999" customHeight="1" x14ac:dyDescent="0.35">
      <c r="A15" s="15" t="s">
        <v>19</v>
      </c>
      <c r="B15" s="5">
        <v>12</v>
      </c>
      <c r="C15" s="5" t="s">
        <v>25</v>
      </c>
      <c r="D15" s="5">
        <v>9</v>
      </c>
      <c r="E15" s="5">
        <v>30</v>
      </c>
      <c r="F15" s="6">
        <v>7</v>
      </c>
      <c r="G15" s="6">
        <v>8</v>
      </c>
      <c r="H15" s="6">
        <v>8</v>
      </c>
      <c r="I15" s="6">
        <v>7</v>
      </c>
      <c r="J15" s="6">
        <v>3</v>
      </c>
      <c r="K15" s="6">
        <v>9</v>
      </c>
      <c r="L15" s="6">
        <v>7</v>
      </c>
      <c r="M15" s="6">
        <v>8</v>
      </c>
      <c r="N15" s="6">
        <v>9</v>
      </c>
      <c r="O15" s="6">
        <v>9</v>
      </c>
      <c r="P15" s="6">
        <v>8</v>
      </c>
      <c r="Q15" s="6">
        <v>8</v>
      </c>
      <c r="R15" s="6">
        <v>9</v>
      </c>
      <c r="S15" s="6">
        <v>3</v>
      </c>
      <c r="T15" s="6">
        <v>5</v>
      </c>
      <c r="U15" s="6">
        <v>8</v>
      </c>
      <c r="V15" s="6">
        <v>6</v>
      </c>
      <c r="W15" s="6">
        <v>6</v>
      </c>
      <c r="X15" s="6">
        <v>6</v>
      </c>
      <c r="Y15" s="6">
        <v>7</v>
      </c>
      <c r="Z15" s="6">
        <v>6</v>
      </c>
      <c r="AA15" s="6">
        <v>5</v>
      </c>
      <c r="AB15" s="6">
        <v>8</v>
      </c>
      <c r="AC15" s="6">
        <v>9</v>
      </c>
      <c r="AD15" s="6">
        <v>9</v>
      </c>
      <c r="AE15" s="6">
        <v>9</v>
      </c>
      <c r="AF15" s="6">
        <v>8</v>
      </c>
      <c r="AG15" s="6">
        <v>9</v>
      </c>
      <c r="AH15" s="6">
        <v>5</v>
      </c>
      <c r="AI15" s="6">
        <v>9</v>
      </c>
      <c r="AJ15" s="6">
        <f t="shared" si="5"/>
        <v>218</v>
      </c>
      <c r="AK15" s="12">
        <f t="shared" si="3"/>
        <v>24.222222222222221</v>
      </c>
      <c r="AL15" s="7">
        <f t="shared" si="4"/>
        <v>80.740740740740733</v>
      </c>
    </row>
    <row r="16" spans="1:39" ht="17.149999999999999" customHeight="1" x14ac:dyDescent="0.35">
      <c r="A16" s="16" t="s">
        <v>19</v>
      </c>
      <c r="B16" s="5">
        <v>12</v>
      </c>
      <c r="C16" s="5" t="s">
        <v>31</v>
      </c>
      <c r="D16" s="5">
        <v>8</v>
      </c>
      <c r="E16" s="5">
        <v>30</v>
      </c>
      <c r="F16" s="6">
        <v>6</v>
      </c>
      <c r="G16" s="6">
        <v>5</v>
      </c>
      <c r="H16" s="6">
        <v>2</v>
      </c>
      <c r="I16" s="6">
        <v>6</v>
      </c>
      <c r="J16" s="6">
        <v>8</v>
      </c>
      <c r="K16" s="6">
        <v>6</v>
      </c>
      <c r="L16" s="6">
        <v>6</v>
      </c>
      <c r="M16" s="6">
        <v>6</v>
      </c>
      <c r="N16" s="6">
        <v>4</v>
      </c>
      <c r="O16" s="6">
        <v>4</v>
      </c>
      <c r="P16" s="6">
        <v>5</v>
      </c>
      <c r="Q16" s="6">
        <v>6</v>
      </c>
      <c r="R16" s="6">
        <v>8</v>
      </c>
      <c r="S16" s="6">
        <v>5</v>
      </c>
      <c r="T16" s="6">
        <v>6</v>
      </c>
      <c r="U16" s="6">
        <v>3</v>
      </c>
      <c r="V16" s="6">
        <v>5</v>
      </c>
      <c r="W16" s="6">
        <v>5</v>
      </c>
      <c r="X16" s="6">
        <v>6</v>
      </c>
      <c r="Y16" s="6">
        <v>7</v>
      </c>
      <c r="Z16" s="6">
        <v>8</v>
      </c>
      <c r="AA16" s="6">
        <v>4</v>
      </c>
      <c r="AB16" s="6">
        <v>8</v>
      </c>
      <c r="AC16" s="6">
        <v>8</v>
      </c>
      <c r="AD16" s="6">
        <v>6</v>
      </c>
      <c r="AE16" s="6">
        <v>4</v>
      </c>
      <c r="AF16" s="6">
        <v>8</v>
      </c>
      <c r="AG16" s="6">
        <v>5</v>
      </c>
      <c r="AH16" s="6">
        <v>5</v>
      </c>
      <c r="AI16" s="6">
        <v>7</v>
      </c>
      <c r="AJ16" s="6">
        <f t="shared" si="5"/>
        <v>172</v>
      </c>
      <c r="AK16" s="12">
        <f t="shared" si="3"/>
        <v>21.5</v>
      </c>
      <c r="AL16" s="7">
        <f t="shared" si="4"/>
        <v>71.666666666666671</v>
      </c>
    </row>
    <row r="17" spans="1:38" ht="17.149999999999999" customHeight="1" x14ac:dyDescent="0.35">
      <c r="A17" s="16" t="s">
        <v>19</v>
      </c>
      <c r="B17" s="5">
        <v>12</v>
      </c>
      <c r="C17" s="5" t="s">
        <v>30</v>
      </c>
      <c r="D17" s="5">
        <v>16</v>
      </c>
      <c r="E17" s="5">
        <v>30</v>
      </c>
      <c r="F17" s="6">
        <v>12</v>
      </c>
      <c r="G17" s="6">
        <v>11</v>
      </c>
      <c r="H17" s="6">
        <v>7</v>
      </c>
      <c r="I17" s="6">
        <v>10</v>
      </c>
      <c r="J17" s="6">
        <v>14</v>
      </c>
      <c r="K17" s="6">
        <v>10</v>
      </c>
      <c r="L17" s="6">
        <v>15</v>
      </c>
      <c r="M17" s="6">
        <v>13</v>
      </c>
      <c r="N17" s="6">
        <v>8</v>
      </c>
      <c r="O17" s="6">
        <v>9</v>
      </c>
      <c r="P17" s="6">
        <v>6</v>
      </c>
      <c r="Q17" s="6">
        <v>10</v>
      </c>
      <c r="R17" s="6">
        <v>10</v>
      </c>
      <c r="S17" s="6">
        <v>5</v>
      </c>
      <c r="T17" s="6">
        <v>10</v>
      </c>
      <c r="U17" s="6">
        <v>8</v>
      </c>
      <c r="V17" s="6">
        <v>4</v>
      </c>
      <c r="W17" s="6">
        <v>10</v>
      </c>
      <c r="X17" s="6">
        <v>14</v>
      </c>
      <c r="Y17" s="6">
        <v>8</v>
      </c>
      <c r="Z17" s="6">
        <v>11</v>
      </c>
      <c r="AA17" s="6">
        <v>4</v>
      </c>
      <c r="AB17" s="6">
        <v>12</v>
      </c>
      <c r="AC17" s="6">
        <v>15</v>
      </c>
      <c r="AD17" s="6">
        <v>11</v>
      </c>
      <c r="AE17" s="6">
        <v>9</v>
      </c>
      <c r="AF17" s="6">
        <v>9</v>
      </c>
      <c r="AG17" s="6">
        <v>12</v>
      </c>
      <c r="AH17" s="6">
        <v>15</v>
      </c>
      <c r="AI17" s="6">
        <v>4</v>
      </c>
      <c r="AJ17" s="6">
        <f t="shared" si="5"/>
        <v>296</v>
      </c>
      <c r="AK17" s="12">
        <f t="shared" si="3"/>
        <v>18.5</v>
      </c>
      <c r="AL17" s="7">
        <f t="shared" si="4"/>
        <v>61.666666666666671</v>
      </c>
    </row>
    <row r="18" spans="1:38" ht="17.149999999999999" customHeight="1" x14ac:dyDescent="0.35">
      <c r="A18" s="15" t="s">
        <v>19</v>
      </c>
      <c r="B18" s="17">
        <v>12</v>
      </c>
      <c r="C18" s="15" t="s">
        <v>29</v>
      </c>
      <c r="D18" s="5">
        <v>7</v>
      </c>
      <c r="E18" s="5">
        <v>30</v>
      </c>
      <c r="F18" s="6">
        <v>5</v>
      </c>
      <c r="G18" s="6">
        <v>5</v>
      </c>
      <c r="H18" s="6">
        <v>3</v>
      </c>
      <c r="I18" s="6">
        <v>4</v>
      </c>
      <c r="J18" s="6">
        <v>5</v>
      </c>
      <c r="K18" s="6">
        <v>2</v>
      </c>
      <c r="L18" s="6">
        <v>6</v>
      </c>
      <c r="M18" s="6">
        <v>7</v>
      </c>
      <c r="N18" s="6">
        <v>6</v>
      </c>
      <c r="O18" s="6">
        <v>7</v>
      </c>
      <c r="P18" s="6">
        <v>6</v>
      </c>
      <c r="Q18" s="6">
        <v>6</v>
      </c>
      <c r="R18" s="6">
        <v>6</v>
      </c>
      <c r="S18" s="6">
        <v>5</v>
      </c>
      <c r="T18" s="6">
        <v>5</v>
      </c>
      <c r="U18" s="6">
        <v>5</v>
      </c>
      <c r="V18" s="6">
        <v>4</v>
      </c>
      <c r="W18" s="6">
        <v>5</v>
      </c>
      <c r="X18" s="6">
        <v>6</v>
      </c>
      <c r="Y18" s="6">
        <v>7</v>
      </c>
      <c r="Z18" s="6">
        <v>5</v>
      </c>
      <c r="AA18" s="6">
        <v>6</v>
      </c>
      <c r="AB18" s="6">
        <v>7</v>
      </c>
      <c r="AC18" s="6">
        <v>8</v>
      </c>
      <c r="AD18" s="6">
        <v>4</v>
      </c>
      <c r="AE18" s="6">
        <v>4</v>
      </c>
      <c r="AF18" s="6">
        <v>4</v>
      </c>
      <c r="AG18" s="6">
        <v>3</v>
      </c>
      <c r="AH18" s="6">
        <v>5</v>
      </c>
      <c r="AI18" s="6">
        <v>6</v>
      </c>
      <c r="AJ18" s="6">
        <f t="shared" si="5"/>
        <v>157</v>
      </c>
      <c r="AK18" s="12">
        <f t="shared" si="3"/>
        <v>22.428571428571427</v>
      </c>
      <c r="AL18" s="7">
        <f t="shared" si="4"/>
        <v>74.761904761904745</v>
      </c>
    </row>
    <row r="19" spans="1:38" ht="17.149999999999999" customHeight="1" x14ac:dyDescent="0.35">
      <c r="A19" s="15"/>
      <c r="B19" s="5"/>
      <c r="C19" s="5"/>
      <c r="D19" s="5"/>
      <c r="E19" s="5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>
        <f t="shared" si="5"/>
        <v>0</v>
      </c>
      <c r="AK19" s="12">
        <v>0</v>
      </c>
      <c r="AL19" s="7">
        <v>0</v>
      </c>
    </row>
    <row r="20" spans="1:38" ht="17.149999999999999" customHeight="1" x14ac:dyDescent="0.35">
      <c r="A20" s="15"/>
      <c r="B20" s="5"/>
      <c r="C20" s="5"/>
      <c r="D20" s="5"/>
      <c r="E20" s="5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>
        <f t="shared" si="5"/>
        <v>0</v>
      </c>
      <c r="AK20" s="12">
        <v>0</v>
      </c>
      <c r="AL20" s="7">
        <v>0</v>
      </c>
    </row>
    <row r="21" spans="1:38" ht="17.149999999999999" customHeight="1" x14ac:dyDescent="0.35">
      <c r="A21" s="15"/>
      <c r="B21" s="5"/>
      <c r="C21" s="5"/>
      <c r="D21" s="5"/>
      <c r="E21" s="5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>
        <f>SUM(F21:AI21)</f>
        <v>0</v>
      </c>
      <c r="AK21" s="12">
        <v>0</v>
      </c>
      <c r="AL21" s="7">
        <v>0</v>
      </c>
    </row>
    <row r="22" spans="1:38" ht="17.149999999999999" customHeight="1" x14ac:dyDescent="0.35">
      <c r="A22" s="15"/>
      <c r="B22" s="5"/>
      <c r="C22" s="5"/>
      <c r="D22" s="5"/>
      <c r="E22" s="5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>
        <f>SUM(F22:AI22)</f>
        <v>0</v>
      </c>
      <c r="AK22" s="12">
        <v>0</v>
      </c>
      <c r="AL22" s="7">
        <v>0</v>
      </c>
    </row>
    <row r="23" spans="1:38" ht="17.149999999999999" customHeight="1" x14ac:dyDescent="0.35">
      <c r="A23" s="15"/>
      <c r="B23" s="5"/>
      <c r="C23" s="10"/>
      <c r="D23" s="5"/>
      <c r="E23" s="5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>
        <f t="shared" si="5"/>
        <v>0</v>
      </c>
      <c r="AK23" s="12">
        <v>0</v>
      </c>
      <c r="AL23" s="7">
        <v>0</v>
      </c>
    </row>
    <row r="24" spans="1:38" ht="17.149999999999999" customHeight="1" x14ac:dyDescent="0.35">
      <c r="A24" s="15"/>
      <c r="B24" s="5"/>
      <c r="C24" s="5"/>
      <c r="D24" s="5"/>
      <c r="E24" s="5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>
        <f t="shared" si="5"/>
        <v>0</v>
      </c>
      <c r="AK24" s="12">
        <v>0</v>
      </c>
      <c r="AL24" s="7">
        <v>0</v>
      </c>
    </row>
    <row r="25" spans="1:38" ht="17.149999999999999" customHeight="1" x14ac:dyDescent="0.35">
      <c r="A25" s="15"/>
      <c r="B25" s="27" t="s">
        <v>12</v>
      </c>
      <c r="C25" s="28"/>
      <c r="D25" s="11">
        <f>SUM(D12:D24)</f>
        <v>92</v>
      </c>
      <c r="E25" s="8">
        <v>30</v>
      </c>
      <c r="F25" s="13">
        <f>SUM(F12:F24)</f>
        <v>78</v>
      </c>
      <c r="G25" s="13">
        <f t="shared" ref="G25:AI25" si="6">SUM(G12:G24)</f>
        <v>78</v>
      </c>
      <c r="H25" s="13">
        <f t="shared" si="6"/>
        <v>61</v>
      </c>
      <c r="I25" s="13">
        <f t="shared" si="6"/>
        <v>77</v>
      </c>
      <c r="J25" s="13">
        <f t="shared" si="6"/>
        <v>70</v>
      </c>
      <c r="K25" s="13">
        <f t="shared" si="6"/>
        <v>75</v>
      </c>
      <c r="L25" s="13">
        <f t="shared" si="6"/>
        <v>76</v>
      </c>
      <c r="M25" s="13">
        <f t="shared" si="6"/>
        <v>74</v>
      </c>
      <c r="N25" s="13">
        <f t="shared" si="6"/>
        <v>70</v>
      </c>
      <c r="O25" s="13">
        <f t="shared" si="6"/>
        <v>74</v>
      </c>
      <c r="P25" s="13">
        <f t="shared" si="6"/>
        <v>72</v>
      </c>
      <c r="Q25" s="13">
        <f t="shared" si="6"/>
        <v>72</v>
      </c>
      <c r="R25" s="13">
        <f t="shared" si="6"/>
        <v>70</v>
      </c>
      <c r="S25" s="13">
        <f t="shared" si="6"/>
        <v>49</v>
      </c>
      <c r="T25" s="13">
        <f t="shared" si="6"/>
        <v>71</v>
      </c>
      <c r="U25" s="13">
        <f t="shared" si="6"/>
        <v>71</v>
      </c>
      <c r="V25" s="13">
        <f t="shared" si="6"/>
        <v>62</v>
      </c>
      <c r="W25" s="13">
        <f t="shared" si="6"/>
        <v>70</v>
      </c>
      <c r="X25" s="13">
        <f t="shared" si="6"/>
        <v>74</v>
      </c>
      <c r="Y25" s="13">
        <f t="shared" si="6"/>
        <v>78</v>
      </c>
      <c r="Z25" s="13">
        <f t="shared" si="6"/>
        <v>80</v>
      </c>
      <c r="AA25" s="13">
        <f t="shared" si="6"/>
        <v>62</v>
      </c>
      <c r="AB25" s="13">
        <f t="shared" si="6"/>
        <v>76</v>
      </c>
      <c r="AC25" s="13">
        <f t="shared" si="6"/>
        <v>84</v>
      </c>
      <c r="AD25" s="13">
        <f t="shared" si="6"/>
        <v>71</v>
      </c>
      <c r="AE25" s="13">
        <f t="shared" si="6"/>
        <v>73</v>
      </c>
      <c r="AF25" s="13">
        <f t="shared" si="6"/>
        <v>74</v>
      </c>
      <c r="AG25" s="13">
        <f t="shared" si="6"/>
        <v>79</v>
      </c>
      <c r="AH25" s="13">
        <f t="shared" si="6"/>
        <v>77</v>
      </c>
      <c r="AI25" s="13">
        <f t="shared" si="6"/>
        <v>64</v>
      </c>
      <c r="AJ25" s="8">
        <f>SUM(AJ12:AJ24)</f>
        <v>2162</v>
      </c>
      <c r="AK25" s="9">
        <v>22.86</v>
      </c>
      <c r="AL25" s="14">
        <v>75.78</v>
      </c>
    </row>
    <row r="26" spans="1:38" ht="17.149999999999999" customHeight="1" x14ac:dyDescent="0.35">
      <c r="A26" s="15"/>
      <c r="B26" s="24" t="s">
        <v>13</v>
      </c>
      <c r="C26" s="24"/>
      <c r="D26" s="24"/>
      <c r="E26" s="8"/>
      <c r="F26" s="8">
        <f>(F25/$D$12)/$E$12*100</f>
        <v>10.4</v>
      </c>
      <c r="G26" s="8">
        <f t="shared" ref="G26:AI26" si="7">(G25/$D$12)/$E$12*100</f>
        <v>10.4</v>
      </c>
      <c r="H26" s="8">
        <f t="shared" si="7"/>
        <v>8.1333333333333329</v>
      </c>
      <c r="I26" s="8">
        <f t="shared" si="7"/>
        <v>10.266666666666667</v>
      </c>
      <c r="J26" s="8">
        <f t="shared" si="7"/>
        <v>9.3333333333333321</v>
      </c>
      <c r="K26" s="8">
        <f t="shared" si="7"/>
        <v>10</v>
      </c>
      <c r="L26" s="8">
        <f t="shared" si="7"/>
        <v>10.133333333333333</v>
      </c>
      <c r="M26" s="8">
        <f t="shared" si="7"/>
        <v>9.8666666666666671</v>
      </c>
      <c r="N26" s="8">
        <f t="shared" si="7"/>
        <v>9.3333333333333321</v>
      </c>
      <c r="O26" s="8">
        <f t="shared" si="7"/>
        <v>9.8666666666666671</v>
      </c>
      <c r="P26" s="8">
        <f t="shared" si="7"/>
        <v>9.6</v>
      </c>
      <c r="Q26" s="8">
        <f t="shared" si="7"/>
        <v>9.6</v>
      </c>
      <c r="R26" s="8">
        <f t="shared" si="7"/>
        <v>9.3333333333333321</v>
      </c>
      <c r="S26" s="8">
        <f t="shared" si="7"/>
        <v>6.5333333333333323</v>
      </c>
      <c r="T26" s="8">
        <f t="shared" si="7"/>
        <v>9.4666666666666668</v>
      </c>
      <c r="U26" s="8">
        <f t="shared" si="7"/>
        <v>9.4666666666666668</v>
      </c>
      <c r="V26" s="8">
        <f t="shared" si="7"/>
        <v>8.2666666666666657</v>
      </c>
      <c r="W26" s="8">
        <f t="shared" si="7"/>
        <v>9.3333333333333321</v>
      </c>
      <c r="X26" s="8">
        <f t="shared" si="7"/>
        <v>9.8666666666666671</v>
      </c>
      <c r="Y26" s="8">
        <f t="shared" si="7"/>
        <v>10.4</v>
      </c>
      <c r="Z26" s="8">
        <f t="shared" si="7"/>
        <v>10.666666666666668</v>
      </c>
      <c r="AA26" s="8">
        <f t="shared" si="7"/>
        <v>8.2666666666666657</v>
      </c>
      <c r="AB26" s="8">
        <f t="shared" si="7"/>
        <v>10.133333333333333</v>
      </c>
      <c r="AC26" s="8">
        <f t="shared" si="7"/>
        <v>11.200000000000001</v>
      </c>
      <c r="AD26" s="8">
        <f t="shared" si="7"/>
        <v>9.4666666666666668</v>
      </c>
      <c r="AE26" s="8">
        <f t="shared" si="7"/>
        <v>9.7333333333333325</v>
      </c>
      <c r="AF26" s="8">
        <f t="shared" si="7"/>
        <v>9.8666666666666671</v>
      </c>
      <c r="AG26" s="8">
        <f t="shared" si="7"/>
        <v>10.533333333333333</v>
      </c>
      <c r="AH26" s="8">
        <f t="shared" si="7"/>
        <v>10.266666666666667</v>
      </c>
      <c r="AI26" s="8">
        <f t="shared" si="7"/>
        <v>8.5333333333333332</v>
      </c>
      <c r="AJ26" s="8"/>
      <c r="AK26" s="8"/>
      <c r="AL26" s="8"/>
    </row>
    <row r="28" spans="1:38" x14ac:dyDescent="0.35">
      <c r="B28" s="2" t="s">
        <v>14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spans="1:38" x14ac:dyDescent="0.3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 t="s">
        <v>15</v>
      </c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spans="1:38" x14ac:dyDescent="0.3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spans="1:38" x14ac:dyDescent="0.35">
      <c r="B31" s="25" t="s">
        <v>20</v>
      </c>
      <c r="C31" s="25"/>
      <c r="D31" s="25"/>
      <c r="E31" s="25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5" t="s">
        <v>22</v>
      </c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</row>
    <row r="32" spans="1:38" x14ac:dyDescent="0.35">
      <c r="B32" s="26" t="s">
        <v>21</v>
      </c>
      <c r="C32" s="26"/>
      <c r="D32" s="26"/>
      <c r="E32" s="26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6" t="s">
        <v>23</v>
      </c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</row>
    <row r="33" spans="2:36" x14ac:dyDescent="0.3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</sheetData>
  <mergeCells count="11">
    <mergeCell ref="B25:C25"/>
    <mergeCell ref="D7:P7"/>
    <mergeCell ref="AH7:AL7"/>
    <mergeCell ref="D8:P8"/>
    <mergeCell ref="AH8:AL8"/>
    <mergeCell ref="B10:AL10"/>
    <mergeCell ref="B26:D26"/>
    <mergeCell ref="B31:E31"/>
    <mergeCell ref="Y31:AJ31"/>
    <mergeCell ref="B32:E32"/>
    <mergeCell ref="Y32:AJ32"/>
  </mergeCells>
  <pageMargins left="0.23622047244094491" right="0.23622047244094491" top="0.39370078740157483" bottom="0.39370078740157483" header="0.31496062992125984" footer="0.31496062992125984"/>
  <pageSetup paperSize="9" scale="77" orientation="landscape" horizontalDpi="4294967293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7BCF8-8D9A-4DCE-9748-DEFC0EE29D4F}">
  <dimension ref="A4:AM33"/>
  <sheetViews>
    <sheetView tabSelected="1" view="pageBreakPreview" zoomScale="75" zoomScaleNormal="59" zoomScalePageLayoutView="55" workbookViewId="0">
      <selection activeCell="V8" sqref="V8"/>
    </sheetView>
  </sheetViews>
  <sheetFormatPr defaultColWidth="9.1796875" defaultRowHeight="14.5" x14ac:dyDescent="0.35"/>
  <cols>
    <col min="1" max="1" width="13.6328125" customWidth="1"/>
    <col min="2" max="2" width="9.1796875" customWidth="1"/>
    <col min="3" max="3" width="10.26953125" customWidth="1"/>
    <col min="4" max="4" width="6.7265625" customWidth="1"/>
    <col min="5" max="5" width="10.54296875" customWidth="1"/>
    <col min="6" max="35" width="3.6328125" customWidth="1"/>
    <col min="36" max="36" width="6.7265625" customWidth="1"/>
    <col min="37" max="37" width="10.08984375" customWidth="1"/>
    <col min="38" max="38" width="10.6328125" customWidth="1"/>
    <col min="39" max="39" width="5.54296875" customWidth="1"/>
  </cols>
  <sheetData>
    <row r="4" spans="1:39" x14ac:dyDescent="0.35">
      <c r="AD4" s="3"/>
    </row>
    <row r="7" spans="1:39" x14ac:dyDescent="0.35">
      <c r="B7" s="2" t="s">
        <v>0</v>
      </c>
      <c r="C7" s="2"/>
      <c r="D7" s="29" t="s">
        <v>16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 t="s">
        <v>1</v>
      </c>
      <c r="AD7" s="2"/>
      <c r="AE7" s="2"/>
      <c r="AF7" s="2"/>
      <c r="AG7" s="2"/>
      <c r="AH7" s="29" t="s">
        <v>18</v>
      </c>
      <c r="AI7" s="29"/>
      <c r="AJ7" s="29"/>
      <c r="AK7" s="29"/>
      <c r="AL7" s="29"/>
    </row>
    <row r="8" spans="1:39" x14ac:dyDescent="0.35">
      <c r="B8" s="2" t="s">
        <v>2</v>
      </c>
      <c r="C8" s="2"/>
      <c r="D8" s="30" t="s">
        <v>33</v>
      </c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 t="s">
        <v>3</v>
      </c>
      <c r="AD8" s="2"/>
      <c r="AE8" s="2"/>
      <c r="AF8" s="2"/>
      <c r="AG8" s="2"/>
      <c r="AH8" s="30" t="s">
        <v>24</v>
      </c>
      <c r="AI8" s="30"/>
      <c r="AJ8" s="30"/>
      <c r="AK8" s="30"/>
      <c r="AL8" s="30"/>
    </row>
    <row r="10" spans="1:39" ht="18" x14ac:dyDescent="0.4">
      <c r="B10" s="31" t="s">
        <v>4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</row>
    <row r="11" spans="1:39" ht="46.5" x14ac:dyDescent="0.35">
      <c r="A11" s="8" t="s">
        <v>2</v>
      </c>
      <c r="B11" s="20" t="s">
        <v>5</v>
      </c>
      <c r="C11" s="20" t="s">
        <v>6</v>
      </c>
      <c r="D11" s="20" t="s">
        <v>7</v>
      </c>
      <c r="E11" s="20" t="s">
        <v>8</v>
      </c>
      <c r="F11" s="21">
        <v>1</v>
      </c>
      <c r="G11" s="21">
        <f>F11+1</f>
        <v>2</v>
      </c>
      <c r="H11" s="21">
        <f t="shared" ref="H11:AI11" si="0">G11+1</f>
        <v>3</v>
      </c>
      <c r="I11" s="21">
        <f t="shared" si="0"/>
        <v>4</v>
      </c>
      <c r="J11" s="21">
        <f t="shared" si="0"/>
        <v>5</v>
      </c>
      <c r="K11" s="21">
        <f t="shared" si="0"/>
        <v>6</v>
      </c>
      <c r="L11" s="21">
        <f t="shared" si="0"/>
        <v>7</v>
      </c>
      <c r="M11" s="21">
        <f t="shared" si="0"/>
        <v>8</v>
      </c>
      <c r="N11" s="21">
        <f t="shared" si="0"/>
        <v>9</v>
      </c>
      <c r="O11" s="21">
        <f t="shared" si="0"/>
        <v>10</v>
      </c>
      <c r="P11" s="21">
        <f t="shared" si="0"/>
        <v>11</v>
      </c>
      <c r="Q11" s="21">
        <f t="shared" si="0"/>
        <v>12</v>
      </c>
      <c r="R11" s="21">
        <f t="shared" si="0"/>
        <v>13</v>
      </c>
      <c r="S11" s="21">
        <f t="shared" si="0"/>
        <v>14</v>
      </c>
      <c r="T11" s="21">
        <f t="shared" si="0"/>
        <v>15</v>
      </c>
      <c r="U11" s="21">
        <f t="shared" si="0"/>
        <v>16</v>
      </c>
      <c r="V11" s="21">
        <f t="shared" si="0"/>
        <v>17</v>
      </c>
      <c r="W11" s="21">
        <f t="shared" si="0"/>
        <v>18</v>
      </c>
      <c r="X11" s="21">
        <f t="shared" si="0"/>
        <v>19</v>
      </c>
      <c r="Y11" s="21">
        <f t="shared" si="0"/>
        <v>20</v>
      </c>
      <c r="Z11" s="21">
        <f>Y11+1</f>
        <v>21</v>
      </c>
      <c r="AA11" s="21">
        <f t="shared" si="0"/>
        <v>22</v>
      </c>
      <c r="AB11" s="21">
        <f t="shared" si="0"/>
        <v>23</v>
      </c>
      <c r="AC11" s="21">
        <f t="shared" si="0"/>
        <v>24</v>
      </c>
      <c r="AD11" s="21">
        <f t="shared" si="0"/>
        <v>25</v>
      </c>
      <c r="AE11" s="21">
        <f t="shared" si="0"/>
        <v>26</v>
      </c>
      <c r="AF11" s="21">
        <f>AE11+1</f>
        <v>27</v>
      </c>
      <c r="AG11" s="21">
        <f t="shared" si="0"/>
        <v>28</v>
      </c>
      <c r="AH11" s="21">
        <f t="shared" si="0"/>
        <v>29</v>
      </c>
      <c r="AI11" s="21">
        <f t="shared" si="0"/>
        <v>30</v>
      </c>
      <c r="AJ11" s="22" t="s">
        <v>9</v>
      </c>
      <c r="AK11" s="23" t="s">
        <v>10</v>
      </c>
      <c r="AL11" s="23" t="s">
        <v>11</v>
      </c>
      <c r="AM11" s="1"/>
    </row>
    <row r="12" spans="1:39" ht="17.149999999999999" customHeight="1" x14ac:dyDescent="0.35">
      <c r="A12" s="16" t="s">
        <v>32</v>
      </c>
      <c r="B12" s="5">
        <v>12</v>
      </c>
      <c r="C12" s="5" t="s">
        <v>28</v>
      </c>
      <c r="D12" s="5">
        <v>25</v>
      </c>
      <c r="E12" s="5">
        <v>30</v>
      </c>
      <c r="F12" s="6">
        <v>21</v>
      </c>
      <c r="G12" s="6">
        <v>16</v>
      </c>
      <c r="H12" s="6">
        <v>18</v>
      </c>
      <c r="I12" s="6">
        <v>24</v>
      </c>
      <c r="J12" s="6">
        <v>21</v>
      </c>
      <c r="K12" s="6">
        <v>23</v>
      </c>
      <c r="L12" s="6">
        <v>18</v>
      </c>
      <c r="M12" s="6">
        <v>15</v>
      </c>
      <c r="N12" s="6">
        <v>18</v>
      </c>
      <c r="O12" s="6">
        <v>20</v>
      </c>
      <c r="P12" s="6">
        <v>20</v>
      </c>
      <c r="Q12" s="6">
        <v>16</v>
      </c>
      <c r="R12" s="6">
        <v>25</v>
      </c>
      <c r="S12" s="6">
        <v>14</v>
      </c>
      <c r="T12" s="6">
        <v>21</v>
      </c>
      <c r="U12" s="6">
        <v>22</v>
      </c>
      <c r="V12" s="6">
        <v>18</v>
      </c>
      <c r="W12" s="6">
        <v>21</v>
      </c>
      <c r="X12" s="6">
        <v>18</v>
      </c>
      <c r="Y12" s="6">
        <v>23</v>
      </c>
      <c r="Z12" s="6">
        <v>25</v>
      </c>
      <c r="AA12" s="6">
        <v>21</v>
      </c>
      <c r="AB12" s="6">
        <v>18</v>
      </c>
      <c r="AC12" s="6">
        <v>19</v>
      </c>
      <c r="AD12" s="6">
        <v>15</v>
      </c>
      <c r="AE12" s="6">
        <v>21</v>
      </c>
      <c r="AF12" s="6">
        <v>24</v>
      </c>
      <c r="AG12" s="6">
        <v>25</v>
      </c>
      <c r="AH12" s="6">
        <v>24</v>
      </c>
      <c r="AI12" s="6">
        <v>12</v>
      </c>
      <c r="AJ12" s="6">
        <f>SUM(F12:AI12)</f>
        <v>596</v>
      </c>
      <c r="AK12" s="18">
        <f t="shared" ref="AK12:AK18" si="1">(AJ12/D12)</f>
        <v>23.84</v>
      </c>
      <c r="AL12" s="19">
        <f t="shared" ref="AL12:AL18" si="2">(AK12/E12)*100</f>
        <v>79.466666666666669</v>
      </c>
      <c r="AM12" s="4"/>
    </row>
    <row r="13" spans="1:39" ht="17.149999999999999" customHeight="1" x14ac:dyDescent="0.35">
      <c r="A13" s="16"/>
      <c r="B13" s="5"/>
      <c r="C13" s="5"/>
      <c r="D13" s="5"/>
      <c r="E13" s="5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>
        <f>SUM(F13:AI13)</f>
        <v>0</v>
      </c>
      <c r="AK13" s="12" t="e">
        <f t="shared" si="1"/>
        <v>#DIV/0!</v>
      </c>
      <c r="AL13" s="7" t="e">
        <f t="shared" si="2"/>
        <v>#DIV/0!</v>
      </c>
    </row>
    <row r="14" spans="1:39" ht="17.149999999999999" customHeight="1" x14ac:dyDescent="0.35">
      <c r="A14" s="15"/>
      <c r="B14" s="5"/>
      <c r="C14" s="5"/>
      <c r="D14" s="5"/>
      <c r="E14" s="5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>
        <f t="shared" ref="AJ14:AJ24" si="3">SUM(F14:AI14)</f>
        <v>0</v>
      </c>
      <c r="AK14" s="12" t="e">
        <f t="shared" si="1"/>
        <v>#DIV/0!</v>
      </c>
      <c r="AL14" s="7" t="e">
        <f t="shared" si="2"/>
        <v>#DIV/0!</v>
      </c>
    </row>
    <row r="15" spans="1:39" ht="17.149999999999999" customHeight="1" x14ac:dyDescent="0.35">
      <c r="A15" s="15"/>
      <c r="B15" s="5"/>
      <c r="C15" s="5"/>
      <c r="D15" s="5"/>
      <c r="E15" s="5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>
        <f t="shared" si="3"/>
        <v>0</v>
      </c>
      <c r="AK15" s="12" t="e">
        <f t="shared" si="1"/>
        <v>#DIV/0!</v>
      </c>
      <c r="AL15" s="7" t="e">
        <f t="shared" si="2"/>
        <v>#DIV/0!</v>
      </c>
    </row>
    <row r="16" spans="1:39" ht="17.149999999999999" customHeight="1" x14ac:dyDescent="0.35">
      <c r="A16" s="16"/>
      <c r="B16" s="5"/>
      <c r="C16" s="5"/>
      <c r="D16" s="5"/>
      <c r="E16" s="5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>
        <f t="shared" si="3"/>
        <v>0</v>
      </c>
      <c r="AK16" s="12" t="e">
        <f t="shared" si="1"/>
        <v>#DIV/0!</v>
      </c>
      <c r="AL16" s="7" t="e">
        <f t="shared" si="2"/>
        <v>#DIV/0!</v>
      </c>
    </row>
    <row r="17" spans="1:38" ht="17.149999999999999" customHeight="1" x14ac:dyDescent="0.35">
      <c r="A17" s="16"/>
      <c r="B17" s="5"/>
      <c r="C17" s="5"/>
      <c r="D17" s="5"/>
      <c r="E17" s="5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>
        <f t="shared" si="3"/>
        <v>0</v>
      </c>
      <c r="AK17" s="12" t="e">
        <f t="shared" si="1"/>
        <v>#DIV/0!</v>
      </c>
      <c r="AL17" s="7" t="e">
        <f t="shared" si="2"/>
        <v>#DIV/0!</v>
      </c>
    </row>
    <row r="18" spans="1:38" ht="17.149999999999999" customHeight="1" x14ac:dyDescent="0.35">
      <c r="A18" s="15"/>
      <c r="B18" s="17"/>
      <c r="C18" s="15"/>
      <c r="D18" s="5"/>
      <c r="E18" s="5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>
        <f t="shared" si="3"/>
        <v>0</v>
      </c>
      <c r="AK18" s="12" t="e">
        <f t="shared" si="1"/>
        <v>#DIV/0!</v>
      </c>
      <c r="AL18" s="7" t="e">
        <f t="shared" si="2"/>
        <v>#DIV/0!</v>
      </c>
    </row>
    <row r="19" spans="1:38" ht="17.149999999999999" customHeight="1" x14ac:dyDescent="0.35">
      <c r="A19" s="15"/>
      <c r="B19" s="5"/>
      <c r="C19" s="5"/>
      <c r="D19" s="5"/>
      <c r="E19" s="5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>
        <f t="shared" si="3"/>
        <v>0</v>
      </c>
      <c r="AK19" s="12">
        <v>0</v>
      </c>
      <c r="AL19" s="7">
        <v>0</v>
      </c>
    </row>
    <row r="20" spans="1:38" ht="17.149999999999999" customHeight="1" x14ac:dyDescent="0.35">
      <c r="A20" s="15"/>
      <c r="B20" s="5"/>
      <c r="C20" s="5"/>
      <c r="D20" s="5"/>
      <c r="E20" s="5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>
        <f t="shared" si="3"/>
        <v>0</v>
      </c>
      <c r="AK20" s="12">
        <v>0</v>
      </c>
      <c r="AL20" s="7">
        <v>0</v>
      </c>
    </row>
    <row r="21" spans="1:38" ht="17.149999999999999" customHeight="1" x14ac:dyDescent="0.35">
      <c r="A21" s="15"/>
      <c r="B21" s="5"/>
      <c r="C21" s="5"/>
      <c r="D21" s="5"/>
      <c r="E21" s="5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>
        <f>SUM(F21:AI21)</f>
        <v>0</v>
      </c>
      <c r="AK21" s="12">
        <v>0</v>
      </c>
      <c r="AL21" s="7">
        <v>0</v>
      </c>
    </row>
    <row r="22" spans="1:38" ht="17.149999999999999" customHeight="1" x14ac:dyDescent="0.35">
      <c r="A22" s="15"/>
      <c r="B22" s="5"/>
      <c r="C22" s="5"/>
      <c r="D22" s="5"/>
      <c r="E22" s="5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>
        <f>SUM(F22:AI22)</f>
        <v>0</v>
      </c>
      <c r="AK22" s="12">
        <v>0</v>
      </c>
      <c r="AL22" s="7">
        <v>0</v>
      </c>
    </row>
    <row r="23" spans="1:38" ht="17.149999999999999" customHeight="1" x14ac:dyDescent="0.35">
      <c r="A23" s="15"/>
      <c r="B23" s="5"/>
      <c r="C23" s="10"/>
      <c r="D23" s="5"/>
      <c r="E23" s="5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>
        <f t="shared" si="3"/>
        <v>0</v>
      </c>
      <c r="AK23" s="12">
        <v>0</v>
      </c>
      <c r="AL23" s="7">
        <v>0</v>
      </c>
    </row>
    <row r="24" spans="1:38" ht="17.149999999999999" customHeight="1" x14ac:dyDescent="0.35">
      <c r="A24" s="15"/>
      <c r="B24" s="5"/>
      <c r="C24" s="5"/>
      <c r="D24" s="5"/>
      <c r="E24" s="5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>
        <f t="shared" si="3"/>
        <v>0</v>
      </c>
      <c r="AK24" s="12">
        <v>0</v>
      </c>
      <c r="AL24" s="7">
        <v>0</v>
      </c>
    </row>
    <row r="25" spans="1:38" ht="17.149999999999999" customHeight="1" x14ac:dyDescent="0.35">
      <c r="A25" s="15"/>
      <c r="B25" s="27" t="s">
        <v>12</v>
      </c>
      <c r="C25" s="28"/>
      <c r="D25" s="11">
        <f>SUM(D12:D24)</f>
        <v>25</v>
      </c>
      <c r="E25" s="8">
        <v>30</v>
      </c>
      <c r="F25" s="13">
        <f>SUM(F12:F24)</f>
        <v>21</v>
      </c>
      <c r="G25" s="13">
        <f t="shared" ref="G25:AI25" si="4">SUM(G12:G24)</f>
        <v>16</v>
      </c>
      <c r="H25" s="13">
        <f t="shared" si="4"/>
        <v>18</v>
      </c>
      <c r="I25" s="13">
        <f t="shared" si="4"/>
        <v>24</v>
      </c>
      <c r="J25" s="13">
        <f t="shared" si="4"/>
        <v>21</v>
      </c>
      <c r="K25" s="13">
        <f t="shared" si="4"/>
        <v>23</v>
      </c>
      <c r="L25" s="13">
        <f t="shared" si="4"/>
        <v>18</v>
      </c>
      <c r="M25" s="13">
        <f t="shared" si="4"/>
        <v>15</v>
      </c>
      <c r="N25" s="13">
        <f t="shared" si="4"/>
        <v>18</v>
      </c>
      <c r="O25" s="13">
        <f t="shared" si="4"/>
        <v>20</v>
      </c>
      <c r="P25" s="13">
        <f t="shared" si="4"/>
        <v>20</v>
      </c>
      <c r="Q25" s="13">
        <f t="shared" si="4"/>
        <v>16</v>
      </c>
      <c r="R25" s="13">
        <f t="shared" si="4"/>
        <v>25</v>
      </c>
      <c r="S25" s="13">
        <f t="shared" si="4"/>
        <v>14</v>
      </c>
      <c r="T25" s="13">
        <f t="shared" si="4"/>
        <v>21</v>
      </c>
      <c r="U25" s="13">
        <f t="shared" si="4"/>
        <v>22</v>
      </c>
      <c r="V25" s="13">
        <f t="shared" si="4"/>
        <v>18</v>
      </c>
      <c r="W25" s="13">
        <f t="shared" si="4"/>
        <v>21</v>
      </c>
      <c r="X25" s="13">
        <f t="shared" si="4"/>
        <v>18</v>
      </c>
      <c r="Y25" s="13">
        <f t="shared" si="4"/>
        <v>23</v>
      </c>
      <c r="Z25" s="13">
        <f t="shared" si="4"/>
        <v>25</v>
      </c>
      <c r="AA25" s="13">
        <f t="shared" si="4"/>
        <v>21</v>
      </c>
      <c r="AB25" s="13">
        <f t="shared" si="4"/>
        <v>18</v>
      </c>
      <c r="AC25" s="13">
        <f t="shared" si="4"/>
        <v>19</v>
      </c>
      <c r="AD25" s="13">
        <f t="shared" si="4"/>
        <v>15</v>
      </c>
      <c r="AE25" s="13">
        <f t="shared" si="4"/>
        <v>21</v>
      </c>
      <c r="AF25" s="13">
        <f t="shared" si="4"/>
        <v>24</v>
      </c>
      <c r="AG25" s="13">
        <f t="shared" si="4"/>
        <v>25</v>
      </c>
      <c r="AH25" s="13">
        <f t="shared" si="4"/>
        <v>24</v>
      </c>
      <c r="AI25" s="13">
        <f t="shared" si="4"/>
        <v>12</v>
      </c>
      <c r="AJ25" s="8">
        <f>SUM(AJ12:AJ24)</f>
        <v>596</v>
      </c>
      <c r="AK25" s="9">
        <v>22.86</v>
      </c>
      <c r="AL25" s="14">
        <v>75.78</v>
      </c>
    </row>
    <row r="26" spans="1:38" ht="17.149999999999999" customHeight="1" x14ac:dyDescent="0.35">
      <c r="A26" s="15"/>
      <c r="B26" s="24" t="s">
        <v>13</v>
      </c>
      <c r="C26" s="24"/>
      <c r="D26" s="24"/>
      <c r="E26" s="8"/>
      <c r="F26" s="8">
        <f>(F25/$D$12)/$E$12*100</f>
        <v>2.8000000000000003</v>
      </c>
      <c r="G26" s="8">
        <f t="shared" ref="G26:AI26" si="5">(G25/$D$12)/$E$12*100</f>
        <v>2.1333333333333333</v>
      </c>
      <c r="H26" s="8">
        <f t="shared" si="5"/>
        <v>2.4</v>
      </c>
      <c r="I26" s="8">
        <f t="shared" si="5"/>
        <v>3.2</v>
      </c>
      <c r="J26" s="8">
        <f t="shared" si="5"/>
        <v>2.8000000000000003</v>
      </c>
      <c r="K26" s="8">
        <f t="shared" si="5"/>
        <v>3.0666666666666669</v>
      </c>
      <c r="L26" s="8">
        <f t="shared" si="5"/>
        <v>2.4</v>
      </c>
      <c r="M26" s="8">
        <f t="shared" si="5"/>
        <v>2</v>
      </c>
      <c r="N26" s="8">
        <f t="shared" si="5"/>
        <v>2.4</v>
      </c>
      <c r="O26" s="8">
        <f t="shared" si="5"/>
        <v>2.666666666666667</v>
      </c>
      <c r="P26" s="8">
        <f t="shared" si="5"/>
        <v>2.666666666666667</v>
      </c>
      <c r="Q26" s="8">
        <f t="shared" si="5"/>
        <v>2.1333333333333333</v>
      </c>
      <c r="R26" s="8">
        <f t="shared" si="5"/>
        <v>3.3333333333333335</v>
      </c>
      <c r="S26" s="8">
        <f t="shared" si="5"/>
        <v>1.8666666666666669</v>
      </c>
      <c r="T26" s="8">
        <f t="shared" si="5"/>
        <v>2.8000000000000003</v>
      </c>
      <c r="U26" s="8">
        <f t="shared" si="5"/>
        <v>2.9333333333333331</v>
      </c>
      <c r="V26" s="8">
        <f t="shared" si="5"/>
        <v>2.4</v>
      </c>
      <c r="W26" s="8">
        <f t="shared" si="5"/>
        <v>2.8000000000000003</v>
      </c>
      <c r="X26" s="8">
        <f t="shared" si="5"/>
        <v>2.4</v>
      </c>
      <c r="Y26" s="8">
        <f t="shared" si="5"/>
        <v>3.0666666666666669</v>
      </c>
      <c r="Z26" s="8">
        <f t="shared" si="5"/>
        <v>3.3333333333333335</v>
      </c>
      <c r="AA26" s="8">
        <f t="shared" si="5"/>
        <v>2.8000000000000003</v>
      </c>
      <c r="AB26" s="8">
        <f t="shared" si="5"/>
        <v>2.4</v>
      </c>
      <c r="AC26" s="8">
        <f t="shared" si="5"/>
        <v>2.5333333333333332</v>
      </c>
      <c r="AD26" s="8">
        <f t="shared" si="5"/>
        <v>2</v>
      </c>
      <c r="AE26" s="8">
        <f t="shared" si="5"/>
        <v>2.8000000000000003</v>
      </c>
      <c r="AF26" s="8">
        <f t="shared" si="5"/>
        <v>3.2</v>
      </c>
      <c r="AG26" s="8">
        <f t="shared" si="5"/>
        <v>3.3333333333333335</v>
      </c>
      <c r="AH26" s="8">
        <f t="shared" si="5"/>
        <v>3.2</v>
      </c>
      <c r="AI26" s="8">
        <f t="shared" si="5"/>
        <v>1.6</v>
      </c>
      <c r="AJ26" s="8"/>
      <c r="AK26" s="8"/>
      <c r="AL26" s="8"/>
    </row>
    <row r="28" spans="1:38" x14ac:dyDescent="0.35">
      <c r="B28" s="2" t="s">
        <v>14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spans="1:38" x14ac:dyDescent="0.3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 t="s">
        <v>15</v>
      </c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spans="1:38" x14ac:dyDescent="0.3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spans="1:38" x14ac:dyDescent="0.35">
      <c r="B31" s="25" t="s">
        <v>20</v>
      </c>
      <c r="C31" s="25"/>
      <c r="D31" s="25"/>
      <c r="E31" s="25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5" t="s">
        <v>22</v>
      </c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</row>
    <row r="32" spans="1:38" x14ac:dyDescent="0.35">
      <c r="B32" s="26" t="s">
        <v>21</v>
      </c>
      <c r="C32" s="26"/>
      <c r="D32" s="26"/>
      <c r="E32" s="26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6" t="s">
        <v>23</v>
      </c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</row>
    <row r="33" spans="2:36" x14ac:dyDescent="0.3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</sheetData>
  <mergeCells count="11">
    <mergeCell ref="B25:C25"/>
    <mergeCell ref="D7:P7"/>
    <mergeCell ref="AH7:AL7"/>
    <mergeCell ref="D8:P8"/>
    <mergeCell ref="AH8:AL8"/>
    <mergeCell ref="B10:AL10"/>
    <mergeCell ref="B26:D26"/>
    <mergeCell ref="B31:E31"/>
    <mergeCell ref="Y31:AJ31"/>
    <mergeCell ref="B32:E32"/>
    <mergeCell ref="Y32:AJ32"/>
  </mergeCells>
  <pageMargins left="0.23622047244094491" right="0.23622047244094491" top="0.39370078740157483" bottom="0.39370078740157483" header="0.31496062992125984" footer="0.31496062992125984"/>
  <pageSetup paperSize="9" scale="77" orientation="landscape" horizontalDpi="4294967293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MIL</vt:lpstr>
      <vt:lpstr>CSS-2</vt:lpstr>
      <vt:lpstr>'CSS-2'!Print_Area</vt:lpstr>
      <vt:lpstr>MIL!Print_Area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juven</dc:creator>
  <cp:keywords/>
  <dc:description/>
  <cp:lastModifiedBy>KRISTINA LYKA OPADA</cp:lastModifiedBy>
  <cp:revision/>
  <cp:lastPrinted>2025-08-22T01:41:41Z</cp:lastPrinted>
  <dcterms:created xsi:type="dcterms:W3CDTF">2022-10-26T23:26:42Z</dcterms:created>
  <dcterms:modified xsi:type="dcterms:W3CDTF">2025-11-18T04:44:24Z</dcterms:modified>
  <cp:category/>
  <cp:contentStatus/>
</cp:coreProperties>
</file>